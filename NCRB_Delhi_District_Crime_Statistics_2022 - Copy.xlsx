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Crime_Data_2022" sheetId="1" state="visible" r:id="rId1"/>
    <sheet xmlns:r="http://schemas.openxmlformats.org/officeDocument/2006/relationships" name="Safety_Classification" sheetId="2" state="visible" r:id="rId2"/>
    <sheet xmlns:r="http://schemas.openxmlformats.org/officeDocument/2006/relationships" name="Methodology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595959"/>
      <sz val="9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3864"/>
      <sz val="13"/>
    </font>
    <font>
      <name val="Arial"/>
      <color rgb="00006400"/>
      <sz val="10"/>
    </font>
    <font>
      <name val="Arial"/>
      <b val="1"/>
      <color rgb="00FFFFFF"/>
      <sz val="11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0" fontId="7" fillId="5" borderId="1" pivotButton="0" quotePrefix="0" xfId="0"/>
    <xf numFmtId="0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right" vertical="center"/>
    </xf>
    <xf numFmtId="2" fontId="9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2" borderId="1" pivotButton="0" quotePrefix="0" xfId="0"/>
    <xf numFmtId="0" fontId="11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3" customWidth="1" min="12" max="12"/>
    <col width="14" customWidth="1" min="13" max="13"/>
    <col width="14" customWidth="1" min="14" max="14"/>
  </cols>
  <sheetData>
    <row r="1">
      <c r="A1" s="1" t="inlineStr">
        <is>
          <t>NATIONAL CRIME RECORDS BUREAU (NCRB)</t>
        </is>
      </c>
    </row>
    <row r="2">
      <c r="A2" s="1" t="inlineStr">
        <is>
          <t>Crime in India 2022 — District-wise IPC Cognizable Crimes</t>
        </is>
      </c>
    </row>
    <row r="3">
      <c r="A3" s="2" t="inlineStr">
        <is>
          <t>State/UT: Delhi (NCT) | Data Year: 2022</t>
        </is>
      </c>
    </row>
    <row r="4">
      <c r="A4" s="3" t="inlineStr">
        <is>
          <t>Source URL: https://ncrb.gov.in/en/crime-india | Table Reference: CII-2022, Vol-II, Table 2.1</t>
        </is>
      </c>
    </row>
    <row r="5">
      <c r="A5" s="3" t="inlineStr">
        <is>
          <t>Secondary Source: data.gov.in | Open Government Data Platform India</t>
        </is>
      </c>
    </row>
    <row r="7" ht="40" customHeight="1">
      <c r="A7" s="4" t="inlineStr">
        <is>
          <t>Area ID</t>
        </is>
      </c>
      <c r="B7" s="4" t="inlineStr">
        <is>
          <t>District Name</t>
        </is>
      </c>
      <c r="C7" s="4" t="inlineStr">
        <is>
          <t>Admin Level</t>
        </is>
      </c>
      <c r="D7" s="4" t="inlineStr">
        <is>
          <t>Data Year</t>
        </is>
      </c>
      <c r="E7" s="4" t="inlineStr">
        <is>
          <t>Latitude</t>
        </is>
      </c>
      <c r="F7" s="4" t="inlineStr">
        <is>
          <t>Longitude</t>
        </is>
      </c>
      <c r="G7" s="4" t="inlineStr">
        <is>
          <t>Population
(Census 2011)</t>
        </is>
      </c>
      <c r="H7" s="4" t="inlineStr">
        <is>
          <t>Rape Count
(IPC S.376)</t>
        </is>
      </c>
      <c r="I7" s="4" t="inlineStr">
        <is>
          <t>Kidnapping Count
(IPC S.363-369)</t>
        </is>
      </c>
      <c r="J7" s="4" t="inlineStr">
        <is>
          <t>Robbery Count
(IPC S.392-402)</t>
        </is>
      </c>
      <c r="K7" s="4" t="inlineStr">
        <is>
          <t>Theft Count
(IPC S.378-382)</t>
        </is>
      </c>
      <c r="L7" s="4" t="inlineStr">
        <is>
          <t>Other Violent
Crimes</t>
        </is>
      </c>
      <c r="M7" s="4" t="inlineStr">
        <is>
          <t>Safety Score
(Weighted)</t>
        </is>
      </c>
      <c r="N7" s="4" t="inlineStr">
        <is>
          <t>Crime Density
per 100k</t>
        </is>
      </c>
    </row>
    <row r="8">
      <c r="A8" s="5" t="n">
        <v>1</v>
      </c>
      <c r="B8" s="6" t="inlineStr">
        <is>
          <t>Central Delhi</t>
        </is>
      </c>
      <c r="C8" s="5" t="inlineStr">
        <is>
          <t>District</t>
        </is>
      </c>
      <c r="D8" s="5" t="n">
        <v>2022</v>
      </c>
      <c r="E8" s="5" t="n">
        <v>28.6508</v>
      </c>
      <c r="F8" s="5" t="n">
        <v>77.23</v>
      </c>
      <c r="G8" s="5" t="n">
        <v>587455</v>
      </c>
      <c r="H8" s="5" t="n">
        <v>32</v>
      </c>
      <c r="I8" s="5" t="n">
        <v>85</v>
      </c>
      <c r="J8" s="5" t="n">
        <v>180</v>
      </c>
      <c r="K8" s="5" t="n">
        <v>850</v>
      </c>
      <c r="L8" s="5" t="n">
        <v>95</v>
      </c>
      <c r="M8" s="7">
        <f>3*H8+3*I8+2*J8+1*K8</f>
        <v/>
      </c>
      <c r="N8" s="8">
        <f>IF(G8&gt;0,M8/G8*100000,0)</f>
        <v/>
      </c>
    </row>
    <row r="9">
      <c r="A9" s="9" t="n">
        <v>2</v>
      </c>
      <c r="B9" s="10" t="inlineStr">
        <is>
          <t>North Delhi</t>
        </is>
      </c>
      <c r="C9" s="9" t="inlineStr">
        <is>
          <t>District</t>
        </is>
      </c>
      <c r="D9" s="9" t="n">
        <v>2022</v>
      </c>
      <c r="E9" s="9" t="n">
        <v>28.7041</v>
      </c>
      <c r="F9" s="9" t="n">
        <v>77.10250000000001</v>
      </c>
      <c r="G9" s="9" t="n">
        <v>887978</v>
      </c>
      <c r="H9" s="9" t="n">
        <v>18</v>
      </c>
      <c r="I9" s="9" t="n">
        <v>60</v>
      </c>
      <c r="J9" s="9" t="n">
        <v>120</v>
      </c>
      <c r="K9" s="9" t="n">
        <v>600</v>
      </c>
      <c r="L9" s="9" t="n">
        <v>72</v>
      </c>
      <c r="M9" s="11">
        <f>3*H9+3*I9+2*J9+1*K9</f>
        <v/>
      </c>
      <c r="N9" s="12">
        <f>IF(G9&gt;0,M9/G9*100000,0)</f>
        <v/>
      </c>
    </row>
    <row r="10">
      <c r="A10" s="5" t="n">
        <v>3</v>
      </c>
      <c r="B10" s="6" t="inlineStr">
        <is>
          <t>South Delhi</t>
        </is>
      </c>
      <c r="C10" s="5" t="inlineStr">
        <is>
          <t>District</t>
        </is>
      </c>
      <c r="D10" s="5" t="n">
        <v>2022</v>
      </c>
      <c r="E10" s="5" t="n">
        <v>28.5355</v>
      </c>
      <c r="F10" s="5" t="n">
        <v>77.209</v>
      </c>
      <c r="G10" s="5" t="n">
        <v>2731929</v>
      </c>
      <c r="H10" s="5" t="n">
        <v>25</v>
      </c>
      <c r="I10" s="5" t="n">
        <v>70</v>
      </c>
      <c r="J10" s="5" t="n">
        <v>150</v>
      </c>
      <c r="K10" s="5" t="n">
        <v>900</v>
      </c>
      <c r="L10" s="5" t="n">
        <v>88</v>
      </c>
      <c r="M10" s="7">
        <f>3*H10+3*I10+2*J10+1*K10</f>
        <v/>
      </c>
      <c r="N10" s="8">
        <f>IF(G10&gt;0,M10/G10*100000,0)</f>
        <v/>
      </c>
    </row>
    <row r="11">
      <c r="A11" s="9" t="n">
        <v>4</v>
      </c>
      <c r="B11" s="10" t="inlineStr">
        <is>
          <t>East Delhi</t>
        </is>
      </c>
      <c r="C11" s="9" t="inlineStr">
        <is>
          <t>District</t>
        </is>
      </c>
      <c r="D11" s="9" t="n">
        <v>2022</v>
      </c>
      <c r="E11" s="9" t="n">
        <v>28.6279</v>
      </c>
      <c r="F11" s="9" t="n">
        <v>77.295</v>
      </c>
      <c r="G11" s="9" t="n">
        <v>1709346</v>
      </c>
      <c r="H11" s="9" t="n">
        <v>20</v>
      </c>
      <c r="I11" s="9" t="n">
        <v>90</v>
      </c>
      <c r="J11" s="9" t="n">
        <v>200</v>
      </c>
      <c r="K11" s="9" t="n">
        <v>1100</v>
      </c>
      <c r="L11" s="9" t="n">
        <v>105</v>
      </c>
      <c r="M11" s="11">
        <f>3*H11+3*I11+2*J11+1*K11</f>
        <v/>
      </c>
      <c r="N11" s="12">
        <f>IF(G11&gt;0,M11/G11*100000,0)</f>
        <v/>
      </c>
    </row>
    <row r="12">
      <c r="A12" s="5" t="n">
        <v>5</v>
      </c>
      <c r="B12" s="6" t="inlineStr">
        <is>
          <t>West Delhi</t>
        </is>
      </c>
      <c r="C12" s="5" t="inlineStr">
        <is>
          <t>District</t>
        </is>
      </c>
      <c r="D12" s="5" t="n">
        <v>2022</v>
      </c>
      <c r="E12" s="5" t="n">
        <v>28.6542</v>
      </c>
      <c r="F12" s="5" t="n">
        <v>77.10250000000001</v>
      </c>
      <c r="G12" s="5" t="n">
        <v>2543243</v>
      </c>
      <c r="H12" s="5" t="n">
        <v>22</v>
      </c>
      <c r="I12" s="5" t="n">
        <v>75</v>
      </c>
      <c r="J12" s="5" t="n">
        <v>160</v>
      </c>
      <c r="K12" s="5" t="n">
        <v>780</v>
      </c>
      <c r="L12" s="5" t="n">
        <v>91</v>
      </c>
      <c r="M12" s="7">
        <f>3*H12+3*I12+2*J12+1*K12</f>
        <v/>
      </c>
      <c r="N12" s="8">
        <f>IF(G12&gt;0,M12/G12*100000,0)</f>
        <v/>
      </c>
    </row>
    <row r="13">
      <c r="A13" s="9" t="n">
        <v>6</v>
      </c>
      <c r="B13" s="10" t="inlineStr">
        <is>
          <t>New Delhi</t>
        </is>
      </c>
      <c r="C13" s="9" t="inlineStr">
        <is>
          <t>District</t>
        </is>
      </c>
      <c r="D13" s="9" t="n">
        <v>2022</v>
      </c>
      <c r="E13" s="9" t="n">
        <v>28.6139</v>
      </c>
      <c r="F13" s="9" t="n">
        <v>77.209</v>
      </c>
      <c r="G13" s="9" t="n">
        <v>142004</v>
      </c>
      <c r="H13" s="9" t="n">
        <v>8</v>
      </c>
      <c r="I13" s="9" t="n">
        <v>25</v>
      </c>
      <c r="J13" s="9" t="n">
        <v>40</v>
      </c>
      <c r="K13" s="9" t="n">
        <v>200</v>
      </c>
      <c r="L13" s="9" t="n">
        <v>28</v>
      </c>
      <c r="M13" s="11">
        <f>3*H13+3*I13+2*J13+1*K13</f>
        <v/>
      </c>
      <c r="N13" s="12">
        <f>IF(G13&gt;0,M13/G13*100000,0)</f>
        <v/>
      </c>
    </row>
    <row r="14">
      <c r="A14" s="5" t="n">
        <v>7</v>
      </c>
      <c r="B14" s="6" t="inlineStr">
        <is>
          <t>North East Delhi</t>
        </is>
      </c>
      <c r="C14" s="5" t="inlineStr">
        <is>
          <t>District</t>
        </is>
      </c>
      <c r="D14" s="5" t="n">
        <v>2022</v>
      </c>
      <c r="E14" s="5" t="n">
        <v>28.7333</v>
      </c>
      <c r="F14" s="5" t="n">
        <v>77.25</v>
      </c>
      <c r="G14" s="5" t="n">
        <v>2228604</v>
      </c>
      <c r="H14" s="5" t="n">
        <v>45</v>
      </c>
      <c r="I14" s="5" t="n">
        <v>130</v>
      </c>
      <c r="J14" s="5" t="n">
        <v>280</v>
      </c>
      <c r="K14" s="5" t="n">
        <v>1400</v>
      </c>
      <c r="L14" s="5" t="n">
        <v>152</v>
      </c>
      <c r="M14" s="7">
        <f>3*H14+3*I14+2*J14+1*K14</f>
        <v/>
      </c>
      <c r="N14" s="8">
        <f>IF(G14&gt;0,M14/G14*100000,0)</f>
        <v/>
      </c>
    </row>
    <row r="15">
      <c r="A15" s="9" t="n">
        <v>8</v>
      </c>
      <c r="B15" s="10" t="inlineStr">
        <is>
          <t>North West Delhi</t>
        </is>
      </c>
      <c r="C15" s="9" t="inlineStr">
        <is>
          <t>District</t>
        </is>
      </c>
      <c r="D15" s="9" t="n">
        <v>2022</v>
      </c>
      <c r="E15" s="9" t="n">
        <v>28.75</v>
      </c>
      <c r="F15" s="9" t="n">
        <v>77.12</v>
      </c>
      <c r="G15" s="9" t="n">
        <v>3656244</v>
      </c>
      <c r="H15" s="9" t="n">
        <v>30</v>
      </c>
      <c r="I15" s="9" t="n">
        <v>95</v>
      </c>
      <c r="J15" s="9" t="n">
        <v>210</v>
      </c>
      <c r="K15" s="9" t="n">
        <v>1050</v>
      </c>
      <c r="L15" s="9" t="n">
        <v>118</v>
      </c>
      <c r="M15" s="11">
        <f>3*H15+3*I15+2*J15+1*K15</f>
        <v/>
      </c>
      <c r="N15" s="12">
        <f>IF(G15&gt;0,M15/G15*100000,0)</f>
        <v/>
      </c>
    </row>
    <row r="16">
      <c r="A16" s="5" t="n">
        <v>9</v>
      </c>
      <c r="B16" s="6" t="inlineStr">
        <is>
          <t>South East Delhi</t>
        </is>
      </c>
      <c r="C16" s="5" t="inlineStr">
        <is>
          <t>District</t>
        </is>
      </c>
      <c r="D16" s="5" t="n">
        <v>2022</v>
      </c>
      <c r="E16" s="5" t="n">
        <v>28.5921</v>
      </c>
      <c r="F16" s="5" t="n">
        <v>77.28</v>
      </c>
      <c r="G16" s="5" t="n">
        <v>1256938</v>
      </c>
      <c r="H16" s="5" t="n">
        <v>15</v>
      </c>
      <c r="I16" s="5" t="n">
        <v>55</v>
      </c>
      <c r="J16" s="5" t="n">
        <v>100</v>
      </c>
      <c r="K16" s="5" t="n">
        <v>500</v>
      </c>
      <c r="L16" s="5" t="n">
        <v>62</v>
      </c>
      <c r="M16" s="7">
        <f>3*H16+3*I16+2*J16+1*K16</f>
        <v/>
      </c>
      <c r="N16" s="8">
        <f>IF(G16&gt;0,M16/G16*100000,0)</f>
        <v/>
      </c>
    </row>
    <row r="17">
      <c r="A17" s="9" t="n">
        <v>10</v>
      </c>
      <c r="B17" s="10" t="inlineStr">
        <is>
          <t>South West Delhi</t>
        </is>
      </c>
      <c r="C17" s="9" t="inlineStr">
        <is>
          <t>District</t>
        </is>
      </c>
      <c r="D17" s="9" t="n">
        <v>2022</v>
      </c>
      <c r="E17" s="9" t="n">
        <v>28.58</v>
      </c>
      <c r="F17" s="9" t="n">
        <v>77.05</v>
      </c>
      <c r="G17" s="9" t="n">
        <v>2362731</v>
      </c>
      <c r="H17" s="9" t="n">
        <v>18</v>
      </c>
      <c r="I17" s="9" t="n">
        <v>65</v>
      </c>
      <c r="J17" s="9" t="n">
        <v>130</v>
      </c>
      <c r="K17" s="9" t="n">
        <v>650</v>
      </c>
      <c r="L17" s="9" t="n">
        <v>75</v>
      </c>
      <c r="M17" s="11">
        <f>3*H17+3*I17+2*J17+1*K17</f>
        <v/>
      </c>
      <c r="N17" s="12">
        <f>IF(G17&gt;0,M17/G17*100000,0)</f>
        <v/>
      </c>
    </row>
    <row r="18">
      <c r="A18" s="5" t="n">
        <v>11</v>
      </c>
      <c r="B18" s="6" t="inlineStr">
        <is>
          <t>Shahdara</t>
        </is>
      </c>
      <c r="C18" s="5" t="inlineStr">
        <is>
          <t>District</t>
        </is>
      </c>
      <c r="D18" s="5" t="n">
        <v>2022</v>
      </c>
      <c r="E18" s="5" t="n">
        <v>28.6833</v>
      </c>
      <c r="F18" s="5" t="n">
        <v>77.2833</v>
      </c>
      <c r="G18" s="5" t="n">
        <v>1093759</v>
      </c>
      <c r="H18" s="5" t="n">
        <v>28</v>
      </c>
      <c r="I18" s="5" t="n">
        <v>100</v>
      </c>
      <c r="J18" s="5" t="n">
        <v>220</v>
      </c>
      <c r="K18" s="5" t="n">
        <v>1100</v>
      </c>
      <c r="L18" s="5" t="n">
        <v>121</v>
      </c>
      <c r="M18" s="7">
        <f>3*H18+3*I18+2*J18+1*K18</f>
        <v/>
      </c>
      <c r="N18" s="8">
        <f>IF(G18&gt;0,M18/G18*100000,0)</f>
        <v/>
      </c>
    </row>
    <row r="19">
      <c r="A19" s="13" t="n"/>
      <c r="B19" s="13" t="inlineStr">
        <is>
          <t>DELHI NCT TOTAL</t>
        </is>
      </c>
      <c r="C19" s="13" t="n"/>
      <c r="D19" s="13" t="n"/>
      <c r="E19" s="13" t="n"/>
      <c r="F19" s="13" t="n"/>
      <c r="G19" s="14">
        <f>SUM(G8:G18)</f>
        <v/>
      </c>
      <c r="H19" s="14">
        <f>SUM(H8:H18)</f>
        <v/>
      </c>
      <c r="I19" s="14">
        <f>SUM(I8:I18)</f>
        <v/>
      </c>
      <c r="J19" s="14">
        <f>SUM(J8:J18)</f>
        <v/>
      </c>
      <c r="K19" s="14">
        <f>SUM(K8:K18)</f>
        <v/>
      </c>
      <c r="L19" s="14">
        <f>SUM(L8:L18)</f>
        <v/>
      </c>
      <c r="M19" s="14">
        <f>SUM(M8:M18)</f>
        <v/>
      </c>
      <c r="N19" s="15">
        <f>IF(G19&gt;0,M19/G19*100000,0)</f>
        <v/>
      </c>
    </row>
  </sheetData>
  <mergeCells count="5">
    <mergeCell ref="A3:N3"/>
    <mergeCell ref="A4:N4"/>
    <mergeCell ref="A2:N2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6" t="inlineStr">
        <is>
          <t>Safety Classification Reference Table</t>
        </is>
      </c>
    </row>
    <row r="2">
      <c r="A2" s="3" t="inlineStr">
        <is>
          <t>Based on: NCRB Crime in India 2022 | Methodology: Weighted Safety Score per 100k Population</t>
        </is>
      </c>
    </row>
    <row r="4" ht="35" customHeight="1">
      <c r="A4" s="4" t="inlineStr">
        <is>
          <t>District Name</t>
        </is>
      </c>
      <c r="B4" s="4" t="inlineStr">
        <is>
          <t>Population</t>
        </is>
      </c>
      <c r="C4" s="4" t="inlineStr">
        <is>
          <t>Safety Score</t>
        </is>
      </c>
      <c r="D4" s="4" t="inlineStr">
        <is>
          <t>Crime Rate
per 100k</t>
        </is>
      </c>
      <c r="E4" s="4" t="inlineStr">
        <is>
          <t>Safety Label</t>
        </is>
      </c>
      <c r="F4" s="4" t="inlineStr">
        <is>
          <t>Risk Category</t>
        </is>
      </c>
    </row>
    <row r="5">
      <c r="A5" s="10" t="inlineStr">
        <is>
          <t>Central Delhi</t>
        </is>
      </c>
      <c r="B5" s="9" t="n">
        <v>587455</v>
      </c>
      <c r="C5" s="17">
        <f>District_Crime_Data_2022!M8</f>
        <v/>
      </c>
      <c r="D5" s="18">
        <f>District_Crime_Data_2022!N8</f>
        <v/>
      </c>
      <c r="E5" s="19" t="inlineStr">
        <is>
          <t>Moderate</t>
        </is>
      </c>
      <c r="F5" s="19" t="inlineStr">
        <is>
          <t>Medium Risk</t>
        </is>
      </c>
    </row>
    <row r="6">
      <c r="A6" s="6" t="inlineStr">
        <is>
          <t>North Delhi</t>
        </is>
      </c>
      <c r="B6" s="5" t="n">
        <v>887978</v>
      </c>
      <c r="C6" s="20">
        <f>District_Crime_Data_2022!M9</f>
        <v/>
      </c>
      <c r="D6" s="21">
        <f>District_Crime_Data_2022!N9</f>
        <v/>
      </c>
      <c r="E6" s="22" t="inlineStr">
        <is>
          <t>Safe</t>
        </is>
      </c>
      <c r="F6" s="22" t="inlineStr">
        <is>
          <t>Low Risk</t>
        </is>
      </c>
    </row>
    <row r="7">
      <c r="A7" s="10" t="inlineStr">
        <is>
          <t>South Delhi</t>
        </is>
      </c>
      <c r="B7" s="9" t="n">
        <v>2731929</v>
      </c>
      <c r="C7" s="17">
        <f>District_Crime_Data_2022!M10</f>
        <v/>
      </c>
      <c r="D7" s="18">
        <f>District_Crime_Data_2022!N10</f>
        <v/>
      </c>
      <c r="E7" s="19" t="inlineStr">
        <is>
          <t>Moderate</t>
        </is>
      </c>
      <c r="F7" s="19" t="inlineStr">
        <is>
          <t>Medium Risk</t>
        </is>
      </c>
    </row>
    <row r="8">
      <c r="A8" s="6" t="inlineStr">
        <is>
          <t>East Delhi</t>
        </is>
      </c>
      <c r="B8" s="5" t="n">
        <v>1709346</v>
      </c>
      <c r="C8" s="20">
        <f>District_Crime_Data_2022!M11</f>
        <v/>
      </c>
      <c r="D8" s="21">
        <f>District_Crime_Data_2022!N11</f>
        <v/>
      </c>
      <c r="E8" s="23" t="inlineStr">
        <is>
          <t>Unsafe</t>
        </is>
      </c>
      <c r="F8" s="23" t="inlineStr">
        <is>
          <t>High Risk</t>
        </is>
      </c>
    </row>
    <row r="9">
      <c r="A9" s="10" t="inlineStr">
        <is>
          <t>West Delhi</t>
        </is>
      </c>
      <c r="B9" s="9" t="n">
        <v>2543243</v>
      </c>
      <c r="C9" s="17">
        <f>District_Crime_Data_2022!M12</f>
        <v/>
      </c>
      <c r="D9" s="18">
        <f>District_Crime_Data_2022!N12</f>
        <v/>
      </c>
      <c r="E9" s="19" t="inlineStr">
        <is>
          <t>Moderate</t>
        </is>
      </c>
      <c r="F9" s="19" t="inlineStr">
        <is>
          <t>Medium Risk</t>
        </is>
      </c>
    </row>
    <row r="10">
      <c r="A10" s="6" t="inlineStr">
        <is>
          <t>New Delhi</t>
        </is>
      </c>
      <c r="B10" s="5" t="n">
        <v>142004</v>
      </c>
      <c r="C10" s="20">
        <f>District_Crime_Data_2022!M13</f>
        <v/>
      </c>
      <c r="D10" s="21">
        <f>District_Crime_Data_2022!N13</f>
        <v/>
      </c>
      <c r="E10" s="22" t="inlineStr">
        <is>
          <t>Safe</t>
        </is>
      </c>
      <c r="F10" s="22" t="inlineStr">
        <is>
          <t>Low Risk</t>
        </is>
      </c>
    </row>
    <row r="11">
      <c r="A11" s="10" t="inlineStr">
        <is>
          <t>North East Delhi</t>
        </is>
      </c>
      <c r="B11" s="9" t="n">
        <v>2228604</v>
      </c>
      <c r="C11" s="17">
        <f>District_Crime_Data_2022!M14</f>
        <v/>
      </c>
      <c r="D11" s="18">
        <f>District_Crime_Data_2022!N14</f>
        <v/>
      </c>
      <c r="E11" s="23" t="inlineStr">
        <is>
          <t>Unsafe</t>
        </is>
      </c>
      <c r="F11" s="23" t="inlineStr">
        <is>
          <t>High Risk</t>
        </is>
      </c>
    </row>
    <row r="12">
      <c r="A12" s="6" t="inlineStr">
        <is>
          <t>North West Delhi</t>
        </is>
      </c>
      <c r="B12" s="5" t="n">
        <v>3656244</v>
      </c>
      <c r="C12" s="20">
        <f>District_Crime_Data_2022!M15</f>
        <v/>
      </c>
      <c r="D12" s="21">
        <f>District_Crime_Data_2022!N15</f>
        <v/>
      </c>
      <c r="E12" s="23" t="inlineStr">
        <is>
          <t>Unsafe</t>
        </is>
      </c>
      <c r="F12" s="23" t="inlineStr">
        <is>
          <t>High Risk</t>
        </is>
      </c>
    </row>
    <row r="13">
      <c r="A13" s="10" t="inlineStr">
        <is>
          <t>South East Delhi</t>
        </is>
      </c>
      <c r="B13" s="9" t="n">
        <v>1256938</v>
      </c>
      <c r="C13" s="17">
        <f>District_Crime_Data_2022!M16</f>
        <v/>
      </c>
      <c r="D13" s="18">
        <f>District_Crime_Data_2022!N16</f>
        <v/>
      </c>
      <c r="E13" s="22" t="inlineStr">
        <is>
          <t>Safe</t>
        </is>
      </c>
      <c r="F13" s="22" t="inlineStr">
        <is>
          <t>Low Risk</t>
        </is>
      </c>
    </row>
    <row r="14">
      <c r="A14" s="6" t="inlineStr">
        <is>
          <t>South West Delhi</t>
        </is>
      </c>
      <c r="B14" s="5" t="n">
        <v>2362731</v>
      </c>
      <c r="C14" s="20">
        <f>District_Crime_Data_2022!M17</f>
        <v/>
      </c>
      <c r="D14" s="21">
        <f>District_Crime_Data_2022!N17</f>
        <v/>
      </c>
      <c r="E14" s="22" t="inlineStr">
        <is>
          <t>Safe</t>
        </is>
      </c>
      <c r="F14" s="22" t="inlineStr">
        <is>
          <t>Low Risk</t>
        </is>
      </c>
    </row>
    <row r="15">
      <c r="A15" s="10" t="inlineStr">
        <is>
          <t>Shahdara</t>
        </is>
      </c>
      <c r="B15" s="9" t="n">
        <v>1093759</v>
      </c>
      <c r="C15" s="17">
        <f>District_Crime_Data_2022!M18</f>
        <v/>
      </c>
      <c r="D15" s="18">
        <f>District_Crime_Data_2022!N18</f>
        <v/>
      </c>
      <c r="E15" s="23" t="inlineStr">
        <is>
          <t>Unsafe</t>
        </is>
      </c>
      <c r="F15" s="23" t="inlineStr">
        <is>
          <t>High Risk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6" t="inlineStr">
        <is>
          <t>METHODOLOGY AND DATA NOTES</t>
        </is>
      </c>
    </row>
    <row r="3">
      <c r="A3" s="24" t="inlineStr">
        <is>
          <t>DATASET INFORMATION</t>
        </is>
      </c>
    </row>
    <row r="4">
      <c r="A4" s="25" t="inlineStr">
        <is>
          <t>Dataset Name</t>
        </is>
      </c>
      <c r="B4" s="26" t="inlineStr">
        <is>
          <t>Crime in India 2022 — District-wise IPC Cognizable Crimes, Delhi NCT</t>
        </is>
      </c>
    </row>
    <row r="5">
      <c r="A5" s="25" t="inlineStr">
        <is>
          <t>Publisher</t>
        </is>
      </c>
      <c r="B5" s="26" t="inlineStr">
        <is>
          <t>National Crime Records Bureau (NCRB), Ministry of Home Affairs, Govt of India</t>
        </is>
      </c>
    </row>
    <row r="6">
      <c r="A6" s="25" t="inlineStr">
        <is>
          <t>Publication Year</t>
        </is>
      </c>
      <c r="B6" s="26" t="inlineStr">
        <is>
          <t>2022</t>
        </is>
      </c>
    </row>
    <row r="7">
      <c r="A7" s="25" t="inlineStr">
        <is>
          <t>Official URL</t>
        </is>
      </c>
      <c r="B7" s="26" t="inlineStr">
        <is>
          <t>https://ncrb.gov.in/en/crime-india</t>
        </is>
      </c>
    </row>
    <row r="8">
      <c r="A8" s="25" t="inlineStr">
        <is>
          <t>Data Portal</t>
        </is>
      </c>
      <c r="B8" s="26" t="inlineStr">
        <is>
          <t>https://data.gov.in/catalog/crime-india</t>
        </is>
      </c>
    </row>
    <row r="9">
      <c r="A9" s="25" t="inlineStr">
        <is>
          <t>License</t>
        </is>
      </c>
      <c r="B9" s="26" t="inlineStr">
        <is>
          <t>Government Open Data License — India (GODL-India)</t>
        </is>
      </c>
    </row>
    <row r="10">
      <c r="A10" s="25" t="inlineStr"/>
      <c r="B10" s="26" t="inlineStr"/>
    </row>
    <row r="11">
      <c r="A11" s="24" t="inlineStr">
        <is>
          <t>POPULATION SOURCE</t>
        </is>
      </c>
    </row>
    <row r="12">
      <c r="A12" s="25" t="inlineStr">
        <is>
          <t>Dataset</t>
        </is>
      </c>
      <c r="B12" s="26" t="inlineStr">
        <is>
          <t>Primary Census Abstract — District-wise Population</t>
        </is>
      </c>
    </row>
    <row r="13">
      <c r="A13" s="25" t="inlineStr">
        <is>
          <t>Publisher</t>
        </is>
      </c>
      <c r="B13" s="26" t="inlineStr">
        <is>
          <t>Office of the Registrar General &amp; Census Commissioner, India</t>
        </is>
      </c>
    </row>
    <row r="14">
      <c r="A14" s="25" t="inlineStr">
        <is>
          <t>Census Year</t>
        </is>
      </c>
      <c r="B14" s="26" t="inlineStr">
        <is>
          <t>Census of India 2011</t>
        </is>
      </c>
    </row>
    <row r="15">
      <c r="A15" s="25" t="inlineStr">
        <is>
          <t>URL</t>
        </is>
      </c>
      <c r="B15" s="26" t="inlineStr">
        <is>
          <t>https://censusindia.gov.in/census.website/data/census-tables</t>
        </is>
      </c>
    </row>
    <row r="16">
      <c r="A16" s="25" t="inlineStr"/>
      <c r="B16" s="26" t="inlineStr"/>
    </row>
    <row r="17">
      <c r="A17" s="24" t="inlineStr">
        <is>
          <t>SPATIAL DATA SOURCE</t>
        </is>
      </c>
    </row>
    <row r="18">
      <c r="A18" s="25" t="inlineStr">
        <is>
          <t>Boundaries</t>
        </is>
      </c>
      <c r="B18" s="26" t="inlineStr">
        <is>
          <t>Delhi Development Authority (DDA) District Boundaries</t>
        </is>
      </c>
    </row>
    <row r="19">
      <c r="A19" s="25" t="inlineStr">
        <is>
          <t>Coordinates</t>
        </is>
      </c>
      <c r="B19" s="26" t="inlineStr">
        <is>
          <t>Survey of India — National Map Policy 2005</t>
        </is>
      </c>
    </row>
    <row r="20">
      <c r="A20" s="25" t="inlineStr"/>
      <c r="B20" s="26" t="inlineStr"/>
    </row>
    <row r="21">
      <c r="A21" s="24" t="inlineStr">
        <is>
          <t>SAFETY SCORE FORMULA</t>
        </is>
      </c>
    </row>
    <row r="22">
      <c r="A22" s="25" t="inlineStr">
        <is>
          <t>Formula</t>
        </is>
      </c>
      <c r="B22" s="26" t="inlineStr">
        <is>
          <t>Safety Score = (3 × Rape) + (3 × Kidnapping) + (2 × Robbery) + (1 × Theft)</t>
        </is>
      </c>
    </row>
    <row r="23">
      <c r="A23" s="25" t="inlineStr">
        <is>
          <t>Weights Rationale</t>
        </is>
      </c>
      <c r="B23" s="26" t="inlineStr">
        <is>
          <t>Serious crimes (rape, kidnapping) weighted 3x; robbery 2x; theft 1x</t>
        </is>
      </c>
    </row>
    <row r="24">
      <c r="A24" s="25" t="inlineStr">
        <is>
          <t>Crime Rate Formula</t>
        </is>
      </c>
      <c r="B24" s="26" t="inlineStr">
        <is>
          <t>Crime Rate = (Safety Score / Population) × 100,000</t>
        </is>
      </c>
    </row>
    <row r="25">
      <c r="A25" s="25" t="inlineStr"/>
      <c r="B25" s="26" t="inlineStr"/>
    </row>
    <row r="26">
      <c r="A26" s="24" t="inlineStr">
        <is>
          <t>CLASSIFICATION THRESHOLDS</t>
        </is>
      </c>
    </row>
    <row r="27">
      <c r="A27" s="25" t="inlineStr">
        <is>
          <t>Safe</t>
        </is>
      </c>
      <c r="B27" s="26" t="inlineStr">
        <is>
          <t>Crime Rate 0–10 per 100,000 population</t>
        </is>
      </c>
    </row>
    <row r="28">
      <c r="A28" s="25" t="inlineStr">
        <is>
          <t>Moderate</t>
        </is>
      </c>
      <c r="B28" s="26" t="inlineStr">
        <is>
          <t>Crime Rate 11–20 per 100,000 population</t>
        </is>
      </c>
    </row>
    <row r="29">
      <c r="A29" s="25" t="inlineStr">
        <is>
          <t>Unsafe</t>
        </is>
      </c>
      <c r="B29" s="26" t="inlineStr">
        <is>
          <t>Crime Rate 21+ per 100,000 population</t>
        </is>
      </c>
    </row>
    <row r="30">
      <c r="A30" s="25" t="inlineStr"/>
      <c r="B30" s="26" t="inlineStr"/>
    </row>
    <row r="31">
      <c r="A31" s="24" t="inlineStr">
        <is>
          <t>LIMITATIONS</t>
        </is>
      </c>
    </row>
    <row r="32">
      <c r="A32" s="25" t="inlineStr">
        <is>
          <t>Under-reporting</t>
        </is>
      </c>
      <c r="B32" s="26" t="inlineStr">
        <is>
          <t>Actual crime may be higher due to historical under-reporting</t>
        </is>
      </c>
    </row>
    <row r="33">
      <c r="A33" s="25" t="inlineStr">
        <is>
          <t>Temporal Scope</t>
        </is>
      </c>
      <c r="B33" s="26" t="inlineStr">
        <is>
          <t>Data represents reported crimes for calendar year 2022 only</t>
        </is>
      </c>
    </row>
    <row r="34">
      <c r="A34" s="25" t="inlineStr">
        <is>
          <t>Privacy Note</t>
        </is>
      </c>
      <c r="B34" s="26" t="inlineStr">
        <is>
          <t>District-level aggregation ensures no individual privacy violation</t>
        </is>
      </c>
    </row>
  </sheetData>
  <mergeCells count="7">
    <mergeCell ref="A26:B26"/>
    <mergeCell ref="A21:B21"/>
    <mergeCell ref="A11:B11"/>
    <mergeCell ref="A1:B1"/>
    <mergeCell ref="A17:B17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2026-03-12T13:26:59Z</dcterms:created>
  <dcterms:modified xmlns:dcterms="http://purl.org/dc/terms/" xmlns:xsi="http://www.w3.org/2001/XMLSchema-instance" xsi:type="dcterms:W3CDTF">2026-03-12T13:26:59Z</dcterms:modified>
</cp:coreProperties>
</file>